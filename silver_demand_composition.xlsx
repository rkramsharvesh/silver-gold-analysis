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Learning\Projects\Silver v Gold\"/>
    </mc:Choice>
  </mc:AlternateContent>
  <xr:revisionPtr revIDLastSave="0" documentId="13_ncr:1_{2DFAEB3D-C83C-4290-A8C6-14D8D5875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M2" i="1"/>
  <c r="N2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M11" i="1" l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N10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10" i="1"/>
</calcChain>
</file>

<file path=xl/sharedStrings.xml><?xml version="1.0" encoding="utf-8"?>
<sst xmlns="http://schemas.openxmlformats.org/spreadsheetml/2006/main" count="14" uniqueCount="14">
  <si>
    <t>Year</t>
  </si>
  <si>
    <t>total_supply</t>
  </si>
  <si>
    <t>mine_production</t>
  </si>
  <si>
    <t>industrial_moz</t>
  </si>
  <si>
    <t>of_which_photovoltaic</t>
  </si>
  <si>
    <t>jewelry_moz</t>
  </si>
  <si>
    <t>coin_bar_moz </t>
  </si>
  <si>
    <t>silverware_moz</t>
  </si>
  <si>
    <t>recycling</t>
  </si>
  <si>
    <t>price_per_oz</t>
  </si>
  <si>
    <t>total_demand_moz</t>
  </si>
  <si>
    <t>industrial_pct </t>
  </si>
  <si>
    <t>jewelry_pct </t>
  </si>
  <si>
    <t>investment_pct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</si>
</sst>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2" sqref="K22"/>
    </sheetView>
  </sheetViews>
  <sheetFormatPr defaultRowHeight="15" x14ac:dyDescent="0.25"/>
  <cols>
    <col min="1" max="1" width="7.42578125" customWidth="1"/>
    <col min="2" max="2" width="16.42578125" bestFit="1" customWidth="1"/>
    <col min="3" max="3" width="9.28515625" customWidth="1"/>
    <col min="4" max="4" width="12" bestFit="1" customWidth="1"/>
    <col min="5" max="5" width="14.140625" customWidth="1"/>
    <col min="6" max="6" width="21.7109375" bestFit="1" customWidth="1"/>
    <col min="7" max="7" width="15.42578125" bestFit="1" customWidth="1"/>
    <col min="8" max="8" width="14.28515625" bestFit="1" customWidth="1"/>
    <col min="9" max="9" width="15.28515625" bestFit="1" customWidth="1"/>
    <col min="10" max="10" width="18.85546875" bestFit="1" customWidth="1"/>
    <col min="11" max="11" width="12.42578125" bestFit="1" customWidth="1"/>
    <col min="12" max="12" width="13.7109375" bestFit="1" customWidth="1"/>
    <col min="13" max="13" width="12" bestFit="1" customWidth="1"/>
    <col min="14" max="14" width="15.42578125" bestFit="1" customWidth="1"/>
  </cols>
  <sheetData>
    <row r="1" spans="1:14" x14ac:dyDescent="0.25">
      <c r="A1" t="s">
        <v>0</v>
      </c>
      <c r="B1" t="s">
        <v>2</v>
      </c>
      <c r="C1" t="s">
        <v>8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9</v>
      </c>
      <c r="L1" t="s">
        <v>11</v>
      </c>
      <c r="M1" t="s">
        <v>12</v>
      </c>
      <c r="N1" t="s">
        <v>13</v>
      </c>
    </row>
    <row r="2" spans="1:14" x14ac:dyDescent="0.25">
      <c r="A2">
        <v>2003</v>
      </c>
      <c r="B2">
        <v>597.20000000000005</v>
      </c>
      <c r="C2">
        <v>196</v>
      </c>
      <c r="D2">
        <v>889.8</v>
      </c>
      <c r="E2">
        <v>561.29999999999995</v>
      </c>
      <c r="F2">
        <v>2.5</v>
      </c>
      <c r="G2">
        <v>186.8</v>
      </c>
      <c r="H2">
        <v>35.700000000000003</v>
      </c>
      <c r="I2">
        <v>85.1</v>
      </c>
      <c r="J2">
        <v>889.8</v>
      </c>
      <c r="K2">
        <v>4.87</v>
      </c>
      <c r="L2" s="1">
        <f t="shared" ref="L2:L9" si="0">(E2/J2)*100</f>
        <v>63.081591368846937</v>
      </c>
      <c r="M2" s="1">
        <f t="shared" ref="M2:M9" si="1">(G2/J2)*100</f>
        <v>20.993481681276695</v>
      </c>
      <c r="N2" s="1">
        <f t="shared" ref="N2:N9" si="2">((H2+I2)/J2)*100</f>
        <v>13.576084513373793</v>
      </c>
    </row>
    <row r="3" spans="1:14" x14ac:dyDescent="0.25">
      <c r="A3">
        <v>2004</v>
      </c>
      <c r="B3">
        <v>613.6</v>
      </c>
      <c r="C3">
        <v>198.7</v>
      </c>
      <c r="D3">
        <v>874.1</v>
      </c>
      <c r="E3">
        <v>608.9</v>
      </c>
      <c r="F3">
        <v>3</v>
      </c>
      <c r="G3">
        <v>187.1</v>
      </c>
      <c r="H3">
        <v>53</v>
      </c>
      <c r="I3">
        <v>68.099999999999994</v>
      </c>
      <c r="J3">
        <v>917.1</v>
      </c>
      <c r="K3">
        <v>6.65</v>
      </c>
      <c r="L3" s="1">
        <f t="shared" si="0"/>
        <v>66.394068258641369</v>
      </c>
      <c r="M3" s="1">
        <f t="shared" si="1"/>
        <v>20.401264856613235</v>
      </c>
      <c r="N3" s="1">
        <f t="shared" si="2"/>
        <v>13.204666884745391</v>
      </c>
    </row>
    <row r="4" spans="1:14" x14ac:dyDescent="0.25">
      <c r="A4">
        <v>2005</v>
      </c>
      <c r="B4">
        <v>639.9</v>
      </c>
      <c r="C4">
        <v>203.4</v>
      </c>
      <c r="D4">
        <v>955.1</v>
      </c>
      <c r="E4">
        <v>639.1</v>
      </c>
      <c r="F4">
        <v>7.3</v>
      </c>
      <c r="G4">
        <v>187.6</v>
      </c>
      <c r="H4">
        <v>51.6</v>
      </c>
      <c r="I4">
        <v>68.3</v>
      </c>
      <c r="J4">
        <v>946.5</v>
      </c>
      <c r="K4">
        <v>7.31</v>
      </c>
      <c r="L4" s="1">
        <f t="shared" si="0"/>
        <v>67.522451135763333</v>
      </c>
      <c r="M4" s="1">
        <f t="shared" si="1"/>
        <v>19.820390913893291</v>
      </c>
      <c r="N4" s="1">
        <f t="shared" si="2"/>
        <v>12.66772319070259</v>
      </c>
    </row>
    <row r="5" spans="1:14" x14ac:dyDescent="0.25">
      <c r="A5">
        <v>2006</v>
      </c>
      <c r="B5">
        <v>643.29999999999995</v>
      </c>
      <c r="C5">
        <v>207.1</v>
      </c>
      <c r="D5">
        <v>917.2</v>
      </c>
      <c r="E5">
        <v>646.70000000000005</v>
      </c>
      <c r="F5">
        <v>8.9</v>
      </c>
      <c r="G5">
        <v>175.2</v>
      </c>
      <c r="H5">
        <v>48.7</v>
      </c>
      <c r="I5">
        <v>62.1</v>
      </c>
      <c r="J5">
        <v>932.8</v>
      </c>
      <c r="K5">
        <v>11.55</v>
      </c>
      <c r="L5" s="1">
        <f t="shared" si="0"/>
        <v>69.328902229845639</v>
      </c>
      <c r="M5" s="1">
        <f t="shared" si="1"/>
        <v>18.782161234991424</v>
      </c>
      <c r="N5" s="1">
        <f t="shared" si="2"/>
        <v>11.878216123499143</v>
      </c>
    </row>
    <row r="6" spans="1:14" x14ac:dyDescent="0.25">
      <c r="A6">
        <v>2007</v>
      </c>
      <c r="B6">
        <v>667.7</v>
      </c>
      <c r="C6">
        <v>203.7</v>
      </c>
      <c r="D6">
        <v>889.8</v>
      </c>
      <c r="E6">
        <v>646</v>
      </c>
      <c r="F6">
        <v>12.5</v>
      </c>
      <c r="G6">
        <v>182.3</v>
      </c>
      <c r="H6">
        <v>61.6</v>
      </c>
      <c r="I6">
        <v>60.2</v>
      </c>
      <c r="J6">
        <v>950.2</v>
      </c>
      <c r="K6">
        <v>13.38</v>
      </c>
      <c r="L6" s="1">
        <f t="shared" si="0"/>
        <v>67.98568722374236</v>
      </c>
      <c r="M6" s="1">
        <f t="shared" si="1"/>
        <v>19.185434645337825</v>
      </c>
      <c r="N6" s="1">
        <f t="shared" si="2"/>
        <v>12.818354030730372</v>
      </c>
    </row>
    <row r="7" spans="1:14" x14ac:dyDescent="0.25">
      <c r="A7">
        <v>2008</v>
      </c>
      <c r="B7">
        <v>684.7</v>
      </c>
      <c r="C7">
        <v>200.4</v>
      </c>
      <c r="D7">
        <v>907</v>
      </c>
      <c r="E7">
        <v>641.79999999999995</v>
      </c>
      <c r="F7">
        <v>19</v>
      </c>
      <c r="G7">
        <v>177.6</v>
      </c>
      <c r="H7">
        <v>196.6</v>
      </c>
      <c r="I7">
        <v>58.4</v>
      </c>
      <c r="J7">
        <v>1074.5</v>
      </c>
      <c r="K7">
        <v>14.99</v>
      </c>
      <c r="L7" s="1">
        <f t="shared" si="0"/>
        <v>59.73010702652396</v>
      </c>
      <c r="M7" s="1">
        <f t="shared" si="1"/>
        <v>16.528617961842716</v>
      </c>
      <c r="N7" s="1">
        <f t="shared" si="2"/>
        <v>23.731968357375525</v>
      </c>
    </row>
    <row r="8" spans="1:14" x14ac:dyDescent="0.25">
      <c r="A8">
        <v>2009</v>
      </c>
      <c r="B8">
        <v>717.3</v>
      </c>
      <c r="C8">
        <v>200.6</v>
      </c>
      <c r="D8">
        <v>916.1</v>
      </c>
      <c r="E8">
        <v>528.20000000000005</v>
      </c>
      <c r="F8">
        <v>23</v>
      </c>
      <c r="G8">
        <v>176.9</v>
      </c>
      <c r="H8">
        <v>92.9</v>
      </c>
      <c r="I8">
        <v>53.2</v>
      </c>
      <c r="J8">
        <v>837.8</v>
      </c>
      <c r="K8">
        <v>14.67</v>
      </c>
      <c r="L8" s="1">
        <f t="shared" si="0"/>
        <v>63.046073048460258</v>
      </c>
      <c r="M8" s="1">
        <f t="shared" si="1"/>
        <v>21.114824540463122</v>
      </c>
      <c r="N8" s="1">
        <f t="shared" si="2"/>
        <v>17.438529481976609</v>
      </c>
    </row>
    <row r="9" spans="1:14" x14ac:dyDescent="0.25">
      <c r="A9">
        <v>2010</v>
      </c>
      <c r="B9">
        <v>753</v>
      </c>
      <c r="C9">
        <v>227.2</v>
      </c>
      <c r="D9">
        <v>1074.8</v>
      </c>
      <c r="E9">
        <v>633.79999999999995</v>
      </c>
      <c r="F9">
        <v>38</v>
      </c>
      <c r="G9">
        <v>190</v>
      </c>
      <c r="H9">
        <v>174.1</v>
      </c>
      <c r="I9">
        <v>51.9</v>
      </c>
      <c r="J9">
        <v>1049.8</v>
      </c>
      <c r="K9">
        <v>20.190000000000001</v>
      </c>
      <c r="L9" s="1">
        <f t="shared" si="0"/>
        <v>60.373404457991995</v>
      </c>
      <c r="M9" s="1">
        <f t="shared" si="1"/>
        <v>18.098685463897887</v>
      </c>
      <c r="N9" s="1">
        <f t="shared" si="2"/>
        <v>21.527910078110118</v>
      </c>
    </row>
    <row r="10" spans="1:14" x14ac:dyDescent="0.25">
      <c r="A10">
        <v>2011</v>
      </c>
      <c r="B10">
        <v>760.1</v>
      </c>
      <c r="C10">
        <v>232.9</v>
      </c>
      <c r="D10">
        <v>1009.7</v>
      </c>
      <c r="E10">
        <v>508.1</v>
      </c>
      <c r="F10">
        <v>68.400000000000006</v>
      </c>
      <c r="G10">
        <v>162.19999999999999</v>
      </c>
      <c r="H10">
        <v>272</v>
      </c>
      <c r="I10">
        <v>41.5</v>
      </c>
      <c r="J10">
        <v>1045.4000000000001</v>
      </c>
      <c r="K10">
        <v>35.119999999999997</v>
      </c>
      <c r="L10" s="1">
        <f>(E10/J10)*100</f>
        <v>48.603405395064087</v>
      </c>
      <c r="M10" s="1">
        <f>(G10/J10)*100</f>
        <v>15.515592117849625</v>
      </c>
      <c r="N10" s="1">
        <f>((H10+I10)/J10)*100</f>
        <v>29.988521140233399</v>
      </c>
    </row>
    <row r="11" spans="1:14" x14ac:dyDescent="0.25">
      <c r="A11">
        <v>2012</v>
      </c>
      <c r="B11">
        <v>792.7</v>
      </c>
      <c r="C11">
        <v>216</v>
      </c>
      <c r="D11">
        <v>1012.4</v>
      </c>
      <c r="E11">
        <v>450.5</v>
      </c>
      <c r="F11">
        <v>55</v>
      </c>
      <c r="G11">
        <v>159.19999999999999</v>
      </c>
      <c r="H11">
        <v>240.8</v>
      </c>
      <c r="I11">
        <v>40.1</v>
      </c>
      <c r="J11">
        <v>983.5</v>
      </c>
      <c r="K11">
        <v>31.15</v>
      </c>
      <c r="L11" s="1">
        <f t="shared" ref="L11:L23" si="3">(E11/J11)*100</f>
        <v>45.805795627859688</v>
      </c>
      <c r="M11" s="1">
        <f t="shared" ref="M11:M23" si="4">(G11/J11)*100</f>
        <v>16.187086934417895</v>
      </c>
      <c r="N11" s="1">
        <f t="shared" ref="N11:N23" si="5">((H11+I11)/J11)*100</f>
        <v>28.561260803253692</v>
      </c>
    </row>
    <row r="12" spans="1:14" x14ac:dyDescent="0.25">
      <c r="A12">
        <v>2013</v>
      </c>
      <c r="B12">
        <v>840.3</v>
      </c>
      <c r="C12">
        <v>192.7</v>
      </c>
      <c r="D12">
        <v>1034.7</v>
      </c>
      <c r="E12">
        <v>460.8</v>
      </c>
      <c r="F12">
        <v>50.5</v>
      </c>
      <c r="G12">
        <v>187.1</v>
      </c>
      <c r="H12">
        <v>300.10000000000002</v>
      </c>
      <c r="I12">
        <v>45.7</v>
      </c>
      <c r="J12">
        <v>1068.9000000000001</v>
      </c>
      <c r="K12">
        <v>23.79</v>
      </c>
      <c r="L12" s="1">
        <f t="shared" si="3"/>
        <v>43.109738984002242</v>
      </c>
      <c r="M12" s="1">
        <f t="shared" si="4"/>
        <v>17.503976050145006</v>
      </c>
      <c r="N12" s="1">
        <f t="shared" si="5"/>
        <v>32.351015062213492</v>
      </c>
    </row>
    <row r="13" spans="1:14" x14ac:dyDescent="0.25">
      <c r="A13">
        <v>2014</v>
      </c>
      <c r="B13">
        <v>882</v>
      </c>
      <c r="C13">
        <v>160.4</v>
      </c>
      <c r="D13">
        <v>1054.2</v>
      </c>
      <c r="E13">
        <v>440.9</v>
      </c>
      <c r="F13">
        <v>48.4</v>
      </c>
      <c r="G13">
        <v>193.5</v>
      </c>
      <c r="H13">
        <v>283</v>
      </c>
      <c r="I13">
        <v>53.5</v>
      </c>
      <c r="J13">
        <v>1011.9</v>
      </c>
      <c r="K13">
        <v>19.079999999999998</v>
      </c>
      <c r="L13" s="1">
        <f t="shared" si="3"/>
        <v>43.571499159996044</v>
      </c>
      <c r="M13" s="1">
        <f t="shared" si="4"/>
        <v>19.122442929143197</v>
      </c>
      <c r="N13" s="1">
        <f t="shared" si="5"/>
        <v>33.254274137760646</v>
      </c>
    </row>
    <row r="14" spans="1:14" x14ac:dyDescent="0.25">
      <c r="A14">
        <v>2015</v>
      </c>
      <c r="B14">
        <v>896.8</v>
      </c>
      <c r="C14">
        <v>146.9</v>
      </c>
      <c r="D14">
        <v>1046.9000000000001</v>
      </c>
      <c r="E14">
        <v>443.4</v>
      </c>
      <c r="F14">
        <v>54.1</v>
      </c>
      <c r="G14">
        <v>202.5</v>
      </c>
      <c r="H14">
        <v>309.3</v>
      </c>
      <c r="I14">
        <v>58.3</v>
      </c>
      <c r="J14">
        <v>1051.7</v>
      </c>
      <c r="K14">
        <v>15.68</v>
      </c>
      <c r="L14" s="1">
        <f t="shared" si="3"/>
        <v>42.160311876010262</v>
      </c>
      <c r="M14" s="1">
        <f t="shared" si="4"/>
        <v>19.254540268137301</v>
      </c>
      <c r="N14" s="1">
        <f t="shared" si="5"/>
        <v>34.952933346011221</v>
      </c>
    </row>
    <row r="15" spans="1:14" x14ac:dyDescent="0.25">
      <c r="A15">
        <v>2016</v>
      </c>
      <c r="B15">
        <v>900.1</v>
      </c>
      <c r="C15">
        <v>156.30000000000001</v>
      </c>
      <c r="D15">
        <v>1057.4000000000001</v>
      </c>
      <c r="E15">
        <v>491</v>
      </c>
      <c r="F15">
        <v>81.599999999999994</v>
      </c>
      <c r="G15">
        <v>189.1</v>
      </c>
      <c r="H15">
        <v>212.9</v>
      </c>
      <c r="I15">
        <v>53.5</v>
      </c>
      <c r="J15">
        <v>993.3</v>
      </c>
      <c r="K15">
        <v>17.14</v>
      </c>
      <c r="L15" s="1">
        <f t="shared" si="3"/>
        <v>49.431188966072689</v>
      </c>
      <c r="M15" s="1">
        <f t="shared" si="4"/>
        <v>19.037551595691131</v>
      </c>
      <c r="N15" s="1">
        <f t="shared" si="5"/>
        <v>26.819691935971008</v>
      </c>
    </row>
    <row r="16" spans="1:14" x14ac:dyDescent="0.25">
      <c r="A16">
        <v>2017</v>
      </c>
      <c r="B16">
        <v>863.9</v>
      </c>
      <c r="C16">
        <v>160.19999999999999</v>
      </c>
      <c r="D16">
        <v>1025.0999999999999</v>
      </c>
      <c r="E16">
        <v>528</v>
      </c>
      <c r="F16">
        <v>99.3</v>
      </c>
      <c r="G16">
        <v>196.2</v>
      </c>
      <c r="H16">
        <v>155.80000000000001</v>
      </c>
      <c r="I16">
        <v>59.4</v>
      </c>
      <c r="J16">
        <v>972.9</v>
      </c>
      <c r="K16">
        <v>17.05</v>
      </c>
      <c r="L16" s="1">
        <f t="shared" si="3"/>
        <v>54.270736971939556</v>
      </c>
      <c r="M16" s="1">
        <f t="shared" si="4"/>
        <v>20.166512488436634</v>
      </c>
      <c r="N16" s="1">
        <f t="shared" si="5"/>
        <v>22.119436735532947</v>
      </c>
    </row>
    <row r="17" spans="1:14" x14ac:dyDescent="0.25">
      <c r="A17">
        <v>2018</v>
      </c>
      <c r="B17">
        <v>850.8</v>
      </c>
      <c r="C17">
        <v>162.30000000000001</v>
      </c>
      <c r="D17">
        <v>1014.3</v>
      </c>
      <c r="E17">
        <v>525.79999999999995</v>
      </c>
      <c r="F17">
        <v>87</v>
      </c>
      <c r="G17">
        <v>203.2</v>
      </c>
      <c r="H17">
        <v>165.9</v>
      </c>
      <c r="I17">
        <v>67.099999999999994</v>
      </c>
      <c r="J17">
        <v>1000.8</v>
      </c>
      <c r="K17">
        <v>15.71</v>
      </c>
      <c r="L17" s="1">
        <f t="shared" si="3"/>
        <v>52.537969624300565</v>
      </c>
      <c r="M17" s="1">
        <f t="shared" si="4"/>
        <v>20.303756994404477</v>
      </c>
      <c r="N17" s="1">
        <f t="shared" si="5"/>
        <v>23.281374900079939</v>
      </c>
    </row>
    <row r="18" spans="1:14" x14ac:dyDescent="0.25">
      <c r="A18">
        <v>2019</v>
      </c>
      <c r="B18">
        <v>837.4</v>
      </c>
      <c r="C18">
        <v>163.80000000000001</v>
      </c>
      <c r="D18">
        <v>1016.2</v>
      </c>
      <c r="E18">
        <v>525.4</v>
      </c>
      <c r="F18">
        <v>74.900000000000006</v>
      </c>
      <c r="G18">
        <v>201.6</v>
      </c>
      <c r="H18">
        <v>187.4</v>
      </c>
      <c r="I18">
        <v>61.3</v>
      </c>
      <c r="J18">
        <v>1006.4</v>
      </c>
      <c r="K18">
        <v>16.21</v>
      </c>
      <c r="L18" s="1">
        <f t="shared" si="3"/>
        <v>52.205882352941181</v>
      </c>
      <c r="M18" s="1">
        <f t="shared" si="4"/>
        <v>20.03179650238474</v>
      </c>
      <c r="N18" s="1">
        <f t="shared" si="5"/>
        <v>24.711844197138312</v>
      </c>
    </row>
    <row r="19" spans="1:14" x14ac:dyDescent="0.25">
      <c r="A19">
        <v>2020</v>
      </c>
      <c r="B19">
        <v>783.8</v>
      </c>
      <c r="C19">
        <v>180.5</v>
      </c>
      <c r="D19">
        <v>974</v>
      </c>
      <c r="E19">
        <v>511.9</v>
      </c>
      <c r="F19">
        <v>82.8</v>
      </c>
      <c r="G19">
        <v>150.9</v>
      </c>
      <c r="H19">
        <v>208.1</v>
      </c>
      <c r="I19">
        <v>31.2</v>
      </c>
      <c r="J19">
        <v>929</v>
      </c>
      <c r="K19">
        <v>20.55</v>
      </c>
      <c r="L19" s="1">
        <f t="shared" si="3"/>
        <v>55.102260495156074</v>
      </c>
      <c r="M19" s="1">
        <f t="shared" si="4"/>
        <v>16.243272335844996</v>
      </c>
      <c r="N19" s="1">
        <f t="shared" si="5"/>
        <v>25.758880516684606</v>
      </c>
    </row>
    <row r="20" spans="1:14" x14ac:dyDescent="0.25">
      <c r="A20">
        <v>2021</v>
      </c>
      <c r="B20">
        <v>830.8</v>
      </c>
      <c r="C20">
        <v>190.7</v>
      </c>
      <c r="D20">
        <v>1023.1</v>
      </c>
      <c r="E20">
        <v>564.1</v>
      </c>
      <c r="F20">
        <v>88.9</v>
      </c>
      <c r="G20">
        <v>182</v>
      </c>
      <c r="H20">
        <v>284.3</v>
      </c>
      <c r="I20">
        <v>40.700000000000003</v>
      </c>
      <c r="J20">
        <v>1102.4000000000001</v>
      </c>
      <c r="K20">
        <v>25.14</v>
      </c>
      <c r="L20" s="1">
        <f t="shared" si="3"/>
        <v>51.170174165457183</v>
      </c>
      <c r="M20" s="1">
        <f t="shared" si="4"/>
        <v>16.509433962264151</v>
      </c>
      <c r="N20" s="1">
        <f t="shared" si="5"/>
        <v>29.481132075471695</v>
      </c>
    </row>
    <row r="21" spans="1:14" x14ac:dyDescent="0.25">
      <c r="A21">
        <v>2022</v>
      </c>
      <c r="B21">
        <v>839.4</v>
      </c>
      <c r="C21">
        <v>193.5</v>
      </c>
      <c r="D21">
        <v>1034.5999999999999</v>
      </c>
      <c r="E21">
        <v>592.29999999999995</v>
      </c>
      <c r="F21">
        <v>118.1</v>
      </c>
      <c r="G21">
        <v>234.5</v>
      </c>
      <c r="H21">
        <v>338.3</v>
      </c>
      <c r="I21">
        <v>73.5</v>
      </c>
      <c r="J21">
        <v>1284.2</v>
      </c>
      <c r="K21">
        <v>21.73</v>
      </c>
      <c r="L21" s="1">
        <f t="shared" si="3"/>
        <v>46.12209936147017</v>
      </c>
      <c r="M21" s="1">
        <f t="shared" si="4"/>
        <v>18.260395577012925</v>
      </c>
      <c r="N21" s="1">
        <f t="shared" si="5"/>
        <v>32.066656284067903</v>
      </c>
    </row>
    <row r="22" spans="1:14" x14ac:dyDescent="0.25">
      <c r="A22">
        <v>2023</v>
      </c>
      <c r="B22">
        <v>812.7</v>
      </c>
      <c r="C22">
        <v>183.5</v>
      </c>
      <c r="D22">
        <v>997.8</v>
      </c>
      <c r="E22">
        <v>657.1</v>
      </c>
      <c r="F22">
        <v>192.7</v>
      </c>
      <c r="G22">
        <v>203.1</v>
      </c>
      <c r="H22">
        <v>244.3</v>
      </c>
      <c r="I22">
        <v>55.1</v>
      </c>
      <c r="J22">
        <v>1198.5</v>
      </c>
      <c r="K22">
        <v>23.35</v>
      </c>
      <c r="L22" s="1">
        <f t="shared" si="3"/>
        <v>54.826866916979554</v>
      </c>
      <c r="M22" s="1">
        <f t="shared" si="4"/>
        <v>16.946182728410513</v>
      </c>
      <c r="N22" s="1">
        <f t="shared" si="5"/>
        <v>24.981226533166463</v>
      </c>
    </row>
    <row r="23" spans="1:14" x14ac:dyDescent="0.25">
      <c r="A23">
        <v>2024</v>
      </c>
      <c r="B23">
        <v>819.7</v>
      </c>
      <c r="C23">
        <v>193.9</v>
      </c>
      <c r="D23">
        <v>1015.1</v>
      </c>
      <c r="E23">
        <v>680.5</v>
      </c>
      <c r="F23">
        <v>197.6</v>
      </c>
      <c r="G23">
        <v>208.7</v>
      </c>
      <c r="H23">
        <v>190.9</v>
      </c>
      <c r="I23">
        <v>54.2</v>
      </c>
      <c r="J23">
        <v>1164.0999999999999</v>
      </c>
      <c r="K23">
        <v>28.27</v>
      </c>
      <c r="L23" s="1">
        <f t="shared" si="3"/>
        <v>58.457177218452031</v>
      </c>
      <c r="M23" s="1">
        <f t="shared" si="4"/>
        <v>17.928013057297484</v>
      </c>
      <c r="N23" s="1">
        <f t="shared" si="5"/>
        <v>21.054892191392497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Sharvesh</dc:creator>
  <cp:lastModifiedBy>Ram Sharvesh</cp:lastModifiedBy>
  <dcterms:created xsi:type="dcterms:W3CDTF">2015-06-05T18:17:20Z</dcterms:created>
  <dcterms:modified xsi:type="dcterms:W3CDTF">2025-11-17T20:13:03Z</dcterms:modified>
</cp:coreProperties>
</file>